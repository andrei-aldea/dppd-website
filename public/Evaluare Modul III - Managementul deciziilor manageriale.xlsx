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\Desktop\"/>
    </mc:Choice>
  </mc:AlternateContent>
  <xr:revisionPtr revIDLastSave="0" documentId="8_{F9A779A0-6012-471D-90E4-4853DDD58FBD}" xr6:coauthVersionLast="47" xr6:coauthVersionMax="47" xr10:uidLastSave="{00000000-0000-0000-0000-000000000000}"/>
  <bookViews>
    <workbookView xWindow="-96" yWindow="0" windowWidth="11712" windowHeight="12336" tabRatio="708" activeTab="1" xr2:uid="{24413B5B-B878-45E2-B075-40EFCED58F41}"/>
  </bookViews>
  <sheets>
    <sheet name="angajati" sheetId="1" r:id="rId1"/>
    <sheet name="Lista derulanta angajati" sheetId="2" r:id="rId2"/>
  </sheets>
  <definedNames>
    <definedName name="angajati">angajati!$B$2:$B$20</definedName>
  </definedNames>
  <calcPr calcId="181029" iterateDelta="1E-4"/>
</workbook>
</file>

<file path=xl/calcChain.xml><?xml version="1.0" encoding="utf-8"?>
<calcChain xmlns="http://schemas.openxmlformats.org/spreadsheetml/2006/main">
  <c r="B2" i="2" l="1"/>
  <c r="I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<sst xmlns="http://schemas.openxmlformats.org/spreadsheetml/2006/main" count="70" uniqueCount="51">
  <si>
    <t xml:space="preserve">ID </t>
  </si>
  <si>
    <t>Nume angajat</t>
  </si>
  <si>
    <t>Profesia</t>
  </si>
  <si>
    <t>Salariul de incadrare</t>
  </si>
  <si>
    <t>Vechimea</t>
  </si>
  <si>
    <t>Anul angajarii</t>
  </si>
  <si>
    <t>Anul curent</t>
  </si>
  <si>
    <t>Baciu Daniela</t>
  </si>
  <si>
    <t>Covaci Claudiu Daniel</t>
  </si>
  <si>
    <t>Istrate Ioana</t>
  </si>
  <si>
    <t>Nicolae Cristina Nicoleta</t>
  </si>
  <si>
    <t>Vlaicu Gabriel</t>
  </si>
  <si>
    <t>Goldeanu Cristian</t>
  </si>
  <si>
    <t>Voicu Mariana</t>
  </si>
  <si>
    <t>Ciurel Paul</t>
  </si>
  <si>
    <t>Vaicovici Sorina</t>
  </si>
  <si>
    <t>Popescu Traian</t>
  </si>
  <si>
    <t>Stelian Bogdan</t>
  </si>
  <si>
    <t>Dobrila Gelu</t>
  </si>
  <si>
    <t>Inginer</t>
  </si>
  <si>
    <t>Contabil</t>
  </si>
  <si>
    <t>Manager RU</t>
  </si>
  <si>
    <t>Asistent manager RU</t>
  </si>
  <si>
    <t>Expert IT</t>
  </si>
  <si>
    <t>Manager Dep Financiar</t>
  </si>
  <si>
    <t>Ofiter PR</t>
  </si>
  <si>
    <t>Sef birou Contabilitate</t>
  </si>
  <si>
    <t>Economist</t>
  </si>
  <si>
    <t>Designer</t>
  </si>
  <si>
    <t>Magazioner</t>
  </si>
  <si>
    <t>Responsabil cu Protectia muncii</t>
  </si>
  <si>
    <t>Director vanzari</t>
  </si>
  <si>
    <t>contabil</t>
  </si>
  <si>
    <t>Bucuresti</t>
  </si>
  <si>
    <t>Cluj</t>
  </si>
  <si>
    <t>Iasi</t>
  </si>
  <si>
    <t>Timisoara</t>
  </si>
  <si>
    <t>Brasov</t>
  </si>
  <si>
    <t>Ploiesti</t>
  </si>
  <si>
    <t>Lista derulanta angajati</t>
  </si>
  <si>
    <t>Salariu brut
Salariu incadrare + spor vechime</t>
  </si>
  <si>
    <t>Constantinescu Ionut</t>
  </si>
  <si>
    <t>Spor vechime</t>
  </si>
  <si>
    <r>
      <rPr>
        <b/>
        <i/>
        <sz val="11"/>
        <color indexed="8"/>
        <rFont val="Calibri"/>
        <family val="2"/>
        <charset val="238"/>
      </rPr>
      <t>Salariu brut</t>
    </r>
    <r>
      <rPr>
        <sz val="11"/>
        <color theme="1"/>
        <rFont val="Calibri"/>
        <family val="2"/>
        <charset val="238"/>
        <scheme val="minor"/>
      </rPr>
      <t>=
Salariu incadrare + spor vechime</t>
    </r>
  </si>
  <si>
    <t>Oras</t>
  </si>
  <si>
    <t>Vascovici Ionut Cristian</t>
  </si>
  <si>
    <t>Iovan Bogdan</t>
  </si>
  <si>
    <t>Antonache Gabriela</t>
  </si>
  <si>
    <t>Gavrila Mihnea Ionut</t>
  </si>
  <si>
    <t>Sibiceanu Petrică</t>
  </si>
  <si>
    <t xml:space="preserve">Ionescu Daniel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</si>
</sst>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i/>
      <sz val="11"/>
      <color indexed="8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9" fontId="0" fillId="0" borderId="0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color theme="3" tint="0.39994506668294322"/>
      </font>
      <fill>
        <patternFill>
          <bgColor rgb="FFFFFF00"/>
        </patternFill>
      </fill>
    </dxf>
    <dxf>
      <font>
        <color theme="3" tint="-0.24994659260841701"/>
      </font>
      <fill>
        <patternFill>
          <bgColor rgb="FF00B050"/>
        </patternFill>
      </fill>
    </dxf>
    <dxf>
      <font>
        <b/>
        <i/>
        <color rgb="FFFF0000"/>
      </font>
    </dxf>
    <dxf>
      <font>
        <color theme="3" tint="-0.24994659260841701"/>
      </font>
      <fill>
        <patternFill>
          <bgColor rgb="FF00B050"/>
        </patternFill>
      </fill>
    </dxf>
    <dxf>
      <font>
        <color theme="3" tint="0.39994506668294322"/>
      </font>
      <fill>
        <patternFill>
          <bgColor rgb="FFFFFF00"/>
        </patternFill>
      </fill>
    </dxf>
    <dxf>
      <font>
        <color theme="3" tint="-0.2499465926084170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09B1-A942-463E-8FE3-7A1B82FD20E7}">
  <dimension ref="A1:I26"/>
  <sheetViews>
    <sheetView topLeftCell="B1" workbookViewId="0">
      <selection activeCell="F25" sqref="F25"/>
    </sheetView>
  </sheetViews>
  <sheetFormatPr defaultRowHeight="14.4" x14ac:dyDescent="0.3"/>
  <cols>
    <col min="1" max="1" width="3.33203125" hidden="1" customWidth="1"/>
    <col min="2" max="2" width="23.109375" bestFit="1" customWidth="1"/>
    <col min="3" max="3" width="29.6640625" bestFit="1" customWidth="1"/>
    <col min="4" max="4" width="22.5546875" bestFit="1" customWidth="1"/>
    <col min="5" max="5" width="13.33203125" bestFit="1" customWidth="1"/>
    <col min="6" max="7" width="11.5546875" customWidth="1"/>
    <col min="8" max="8" width="19.33203125" bestFit="1" customWidth="1"/>
    <col min="9" max="9" width="17.33203125" customWidth="1"/>
  </cols>
  <sheetData>
    <row r="1" spans="1:9" ht="43.2" x14ac:dyDescent="0.3">
      <c r="A1" s="1" t="s">
        <v>0</v>
      </c>
      <c r="B1" s="5" t="s">
        <v>1</v>
      </c>
      <c r="C1" s="5" t="s">
        <v>2</v>
      </c>
      <c r="D1" s="5" t="s">
        <v>44</v>
      </c>
      <c r="E1" s="5" t="s">
        <v>5</v>
      </c>
      <c r="F1" s="5" t="s">
        <v>6</v>
      </c>
      <c r="G1" s="5" t="s">
        <v>4</v>
      </c>
      <c r="H1" s="5" t="s">
        <v>3</v>
      </c>
      <c r="I1" s="6" t="s">
        <v>43</v>
      </c>
    </row>
    <row r="2" spans="1:9" x14ac:dyDescent="0.3">
      <c r="A2">
        <v>1</v>
      </c>
      <c r="B2" s="7" t="s">
        <v>49</v>
      </c>
      <c r="C2" s="7" t="s">
        <v>23</v>
      </c>
      <c r="D2" s="7" t="s">
        <v>33</v>
      </c>
      <c r="E2" s="5">
        <v>1996</v>
      </c>
      <c r="F2" s="5">
        <v>2013</v>
      </c>
      <c r="G2" s="5">
        <f>F2-E2</f>
        <v>17</v>
      </c>
      <c r="H2" s="5">
        <v>1000</v>
      </c>
      <c r="I2" s="7">
        <f>H2+$E$26</f>
        <v>1000</v>
      </c>
    </row>
    <row r="3" spans="1:9" x14ac:dyDescent="0.3">
      <c r="A3">
        <v>2</v>
      </c>
      <c r="B3" s="7" t="s">
        <v>50</v>
      </c>
      <c r="C3" s="7" t="s">
        <v>20</v>
      </c>
      <c r="D3" s="7" t="s">
        <v>34</v>
      </c>
      <c r="E3" s="5">
        <v>1995</v>
      </c>
      <c r="F3" s="5">
        <v>2013</v>
      </c>
      <c r="G3" s="5">
        <f t="shared" ref="G3:G20" si="0">F3-E3</f>
        <v>18</v>
      </c>
      <c r="H3" s="5">
        <v>1300</v>
      </c>
      <c r="I3" s="7">
        <f t="shared" ref="I3:I19" si="1">H3+$E$26</f>
        <v>1300</v>
      </c>
    </row>
    <row r="4" spans="1:9" x14ac:dyDescent="0.3">
      <c r="A4">
        <v>3</v>
      </c>
      <c r="B4" s="7" t="s">
        <v>8</v>
      </c>
      <c r="C4" s="7" t="s">
        <v>21</v>
      </c>
      <c r="D4" s="7" t="s">
        <v>35</v>
      </c>
      <c r="E4" s="5">
        <v>2001</v>
      </c>
      <c r="F4" s="5">
        <v>2013</v>
      </c>
      <c r="G4" s="5">
        <f t="shared" si="0"/>
        <v>12</v>
      </c>
      <c r="H4" s="5">
        <v>1700</v>
      </c>
      <c r="I4" s="7">
        <f t="shared" si="1"/>
        <v>1700</v>
      </c>
    </row>
    <row r="5" spans="1:9" x14ac:dyDescent="0.3">
      <c r="A5">
        <v>4</v>
      </c>
      <c r="B5" s="7" t="s">
        <v>7</v>
      </c>
      <c r="C5" s="7" t="s">
        <v>22</v>
      </c>
      <c r="D5" s="7" t="s">
        <v>33</v>
      </c>
      <c r="E5" s="5">
        <v>1999</v>
      </c>
      <c r="F5" s="5">
        <v>2013</v>
      </c>
      <c r="G5" s="5">
        <f t="shared" si="0"/>
        <v>14</v>
      </c>
      <c r="H5" s="5">
        <v>1350</v>
      </c>
      <c r="I5" s="7">
        <f t="shared" si="1"/>
        <v>1350</v>
      </c>
    </row>
    <row r="6" spans="1:9" x14ac:dyDescent="0.3">
      <c r="A6">
        <v>5</v>
      </c>
      <c r="B6" s="7" t="s">
        <v>9</v>
      </c>
      <c r="C6" s="7" t="s">
        <v>23</v>
      </c>
      <c r="D6" s="7" t="s">
        <v>35</v>
      </c>
      <c r="E6" s="5">
        <v>2002</v>
      </c>
      <c r="F6" s="5">
        <v>2013</v>
      </c>
      <c r="G6" s="5">
        <f t="shared" si="0"/>
        <v>11</v>
      </c>
      <c r="H6" s="5">
        <v>1400</v>
      </c>
      <c r="I6" s="7">
        <f t="shared" si="1"/>
        <v>1400</v>
      </c>
    </row>
    <row r="7" spans="1:9" x14ac:dyDescent="0.3">
      <c r="A7">
        <v>6</v>
      </c>
      <c r="B7" s="7" t="s">
        <v>10</v>
      </c>
      <c r="C7" s="7" t="s">
        <v>24</v>
      </c>
      <c r="D7" s="7" t="s">
        <v>36</v>
      </c>
      <c r="E7" s="5">
        <v>1983</v>
      </c>
      <c r="F7" s="5">
        <v>2013</v>
      </c>
      <c r="G7" s="5">
        <f t="shared" si="0"/>
        <v>30</v>
      </c>
      <c r="H7" s="5">
        <v>1700</v>
      </c>
      <c r="I7" s="7">
        <f t="shared" si="1"/>
        <v>1700</v>
      </c>
    </row>
    <row r="8" spans="1:9" x14ac:dyDescent="0.3">
      <c r="A8">
        <v>7</v>
      </c>
      <c r="B8" s="7" t="s">
        <v>11</v>
      </c>
      <c r="C8" s="7" t="s">
        <v>25</v>
      </c>
      <c r="D8" s="7" t="s">
        <v>37</v>
      </c>
      <c r="E8" s="5">
        <v>2005</v>
      </c>
      <c r="F8" s="5">
        <v>2013</v>
      </c>
      <c r="G8" s="5">
        <f t="shared" si="0"/>
        <v>8</v>
      </c>
      <c r="H8" s="5">
        <v>1350</v>
      </c>
      <c r="I8" s="7">
        <f t="shared" si="1"/>
        <v>1350</v>
      </c>
    </row>
    <row r="9" spans="1:9" x14ac:dyDescent="0.3">
      <c r="A9">
        <v>8</v>
      </c>
      <c r="B9" s="7" t="s">
        <v>12</v>
      </c>
      <c r="C9" s="7" t="s">
        <v>26</v>
      </c>
      <c r="D9" s="7" t="s">
        <v>33</v>
      </c>
      <c r="E9" s="5">
        <v>1984</v>
      </c>
      <c r="F9" s="5">
        <v>2013</v>
      </c>
      <c r="G9" s="5">
        <f t="shared" si="0"/>
        <v>29</v>
      </c>
      <c r="H9" s="5">
        <v>1000</v>
      </c>
      <c r="I9" s="7">
        <f t="shared" si="1"/>
        <v>1000</v>
      </c>
    </row>
    <row r="10" spans="1:9" x14ac:dyDescent="0.3">
      <c r="A10">
        <v>9</v>
      </c>
      <c r="B10" s="7" t="s">
        <v>47</v>
      </c>
      <c r="C10" s="7" t="s">
        <v>23</v>
      </c>
      <c r="D10" s="7" t="s">
        <v>33</v>
      </c>
      <c r="E10" s="5">
        <v>1989</v>
      </c>
      <c r="F10" s="5">
        <v>2013</v>
      </c>
      <c r="G10" s="5">
        <f t="shared" si="0"/>
        <v>24</v>
      </c>
      <c r="H10" s="5">
        <v>1300</v>
      </c>
      <c r="I10" s="7">
        <f t="shared" si="1"/>
        <v>1300</v>
      </c>
    </row>
    <row r="11" spans="1:9" x14ac:dyDescent="0.3">
      <c r="A11">
        <v>10</v>
      </c>
      <c r="B11" s="7" t="s">
        <v>46</v>
      </c>
      <c r="C11" s="7" t="s">
        <v>20</v>
      </c>
      <c r="D11" s="7" t="s">
        <v>38</v>
      </c>
      <c r="E11" s="5">
        <v>2003</v>
      </c>
      <c r="F11" s="5">
        <v>2013</v>
      </c>
      <c r="G11" s="5">
        <f t="shared" si="0"/>
        <v>10</v>
      </c>
      <c r="H11" s="5">
        <v>1333</v>
      </c>
      <c r="I11" s="7">
        <f t="shared" si="1"/>
        <v>1333</v>
      </c>
    </row>
    <row r="12" spans="1:9" x14ac:dyDescent="0.3">
      <c r="A12">
        <v>11</v>
      </c>
      <c r="B12" s="7" t="s">
        <v>13</v>
      </c>
      <c r="C12" s="7" t="s">
        <v>28</v>
      </c>
      <c r="D12" s="7" t="s">
        <v>38</v>
      </c>
      <c r="E12" s="5">
        <v>2006</v>
      </c>
      <c r="F12" s="5">
        <v>2013</v>
      </c>
      <c r="G12" s="5">
        <f t="shared" si="0"/>
        <v>7</v>
      </c>
      <c r="H12" s="5">
        <v>1300</v>
      </c>
      <c r="I12" s="7">
        <f t="shared" si="1"/>
        <v>1300</v>
      </c>
    </row>
    <row r="13" spans="1:9" x14ac:dyDescent="0.3">
      <c r="A13">
        <v>12</v>
      </c>
      <c r="B13" s="7" t="s">
        <v>14</v>
      </c>
      <c r="C13" s="7" t="s">
        <v>20</v>
      </c>
      <c r="D13" s="7" t="s">
        <v>36</v>
      </c>
      <c r="E13" s="5">
        <v>1987</v>
      </c>
      <c r="F13" s="5">
        <v>2013</v>
      </c>
      <c r="G13" s="5">
        <f t="shared" si="0"/>
        <v>26</v>
      </c>
      <c r="H13" s="5">
        <v>1300</v>
      </c>
      <c r="I13" s="7">
        <f t="shared" si="1"/>
        <v>1300</v>
      </c>
    </row>
    <row r="14" spans="1:9" x14ac:dyDescent="0.3">
      <c r="A14">
        <v>13</v>
      </c>
      <c r="B14" s="7" t="s">
        <v>15</v>
      </c>
      <c r="C14" s="7" t="s">
        <v>27</v>
      </c>
      <c r="D14" s="7" t="s">
        <v>33</v>
      </c>
      <c r="E14" s="5">
        <v>1996</v>
      </c>
      <c r="F14" s="5">
        <v>2013</v>
      </c>
      <c r="G14" s="5">
        <f t="shared" si="0"/>
        <v>17</v>
      </c>
      <c r="H14" s="5">
        <v>1333</v>
      </c>
      <c r="I14" s="7">
        <f t="shared" si="1"/>
        <v>1333</v>
      </c>
    </row>
    <row r="15" spans="1:9" x14ac:dyDescent="0.3">
      <c r="A15">
        <v>14</v>
      </c>
      <c r="B15" s="7" t="s">
        <v>48</v>
      </c>
      <c r="C15" s="7" t="s">
        <v>29</v>
      </c>
      <c r="D15" s="7" t="s">
        <v>33</v>
      </c>
      <c r="E15" s="5">
        <v>2008</v>
      </c>
      <c r="F15" s="5">
        <v>2013</v>
      </c>
      <c r="G15" s="5">
        <f t="shared" si="0"/>
        <v>5</v>
      </c>
      <c r="H15" s="5">
        <v>1000</v>
      </c>
      <c r="I15" s="7">
        <f t="shared" si="1"/>
        <v>1000</v>
      </c>
    </row>
    <row r="16" spans="1:9" x14ac:dyDescent="0.3">
      <c r="A16">
        <v>15</v>
      </c>
      <c r="B16" s="7" t="s">
        <v>16</v>
      </c>
      <c r="C16" s="7" t="s">
        <v>19</v>
      </c>
      <c r="D16" s="7" t="s">
        <v>35</v>
      </c>
      <c r="E16" s="5">
        <v>2005</v>
      </c>
      <c r="F16" s="5">
        <v>2013</v>
      </c>
      <c r="G16" s="5">
        <f t="shared" si="0"/>
        <v>8</v>
      </c>
      <c r="H16" s="5">
        <v>1500</v>
      </c>
      <c r="I16" s="7">
        <f t="shared" si="1"/>
        <v>1500</v>
      </c>
    </row>
    <row r="17" spans="1:9" x14ac:dyDescent="0.3">
      <c r="A17">
        <v>16</v>
      </c>
      <c r="B17" s="7" t="s">
        <v>17</v>
      </c>
      <c r="C17" s="7" t="s">
        <v>30</v>
      </c>
      <c r="D17" s="7" t="s">
        <v>36</v>
      </c>
      <c r="E17" s="5">
        <v>2003</v>
      </c>
      <c r="F17" s="5">
        <v>2013</v>
      </c>
      <c r="G17" s="5">
        <f t="shared" si="0"/>
        <v>10</v>
      </c>
      <c r="H17" s="5">
        <v>1370</v>
      </c>
      <c r="I17" s="7">
        <f t="shared" si="1"/>
        <v>1370</v>
      </c>
    </row>
    <row r="18" spans="1:9" x14ac:dyDescent="0.3">
      <c r="A18">
        <v>17</v>
      </c>
      <c r="B18" s="7" t="s">
        <v>41</v>
      </c>
      <c r="C18" s="7" t="s">
        <v>28</v>
      </c>
      <c r="D18" s="7" t="s">
        <v>38</v>
      </c>
      <c r="E18" s="5">
        <v>2010</v>
      </c>
      <c r="F18" s="5">
        <v>2013</v>
      </c>
      <c r="G18" s="5">
        <f t="shared" si="0"/>
        <v>3</v>
      </c>
      <c r="H18" s="5">
        <v>1300</v>
      </c>
      <c r="I18" s="7">
        <f t="shared" si="1"/>
        <v>1300</v>
      </c>
    </row>
    <row r="19" spans="1:9" x14ac:dyDescent="0.3">
      <c r="A19">
        <v>18</v>
      </c>
      <c r="B19" s="7" t="s">
        <v>18</v>
      </c>
      <c r="C19" s="7" t="s">
        <v>32</v>
      </c>
      <c r="D19" s="7" t="s">
        <v>37</v>
      </c>
      <c r="E19" s="5">
        <v>2000</v>
      </c>
      <c r="F19" s="5">
        <v>2013</v>
      </c>
      <c r="G19" s="5">
        <f t="shared" si="0"/>
        <v>13</v>
      </c>
      <c r="H19" s="5">
        <v>1300</v>
      </c>
      <c r="I19" s="7">
        <f t="shared" si="1"/>
        <v>1300</v>
      </c>
    </row>
    <row r="20" spans="1:9" x14ac:dyDescent="0.3">
      <c r="A20">
        <v>19</v>
      </c>
      <c r="B20" s="7" t="s">
        <v>45</v>
      </c>
      <c r="C20" s="7" t="s">
        <v>31</v>
      </c>
      <c r="D20" s="7" t="s">
        <v>33</v>
      </c>
      <c r="E20" s="5">
        <v>1991</v>
      </c>
      <c r="F20" s="5">
        <v>2013</v>
      </c>
      <c r="G20" s="5">
        <f t="shared" si="0"/>
        <v>22</v>
      </c>
      <c r="H20" s="5">
        <v>1600</v>
      </c>
      <c r="I20" s="7">
        <f>H20+$E$26</f>
        <v>1600</v>
      </c>
    </row>
    <row r="25" spans="1:9" x14ac:dyDescent="0.3">
      <c r="D25" s="8" t="s">
        <v>42</v>
      </c>
    </row>
    <row r="26" spans="1:9" x14ac:dyDescent="0.3">
      <c r="D26" s="8">
        <v>200</v>
      </c>
    </row>
  </sheetData>
  <conditionalFormatting sqref="I2:I20">
    <cfRule type="cellIs" dxfId="2" priority="1" stopIfTrue="1" operator="greaterThan">
      <formula>1500</formula>
    </cfRule>
    <cfRule type="cellIs" dxfId="4" priority="2" stopIfTrue="1" operator="between">
      <formula>1301</formula>
      <formula>1500</formula>
    </cfRule>
    <cfRule type="cellIs" dxfId="3" priority="3" stopIfTrue="1" operator="lessThan">
      <formula>1300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4BA8-957B-4F47-A3D3-B65FEAD76F7F}">
  <dimension ref="A1:F4"/>
  <sheetViews>
    <sheetView tabSelected="1" workbookViewId="0">
      <selection activeCell="A2" sqref="A2"/>
    </sheetView>
  </sheetViews>
  <sheetFormatPr defaultRowHeight="14.4" x14ac:dyDescent="0.3"/>
  <cols>
    <col min="1" max="1" width="23.44140625" customWidth="1"/>
    <col min="2" max="2" width="21.5546875" customWidth="1"/>
    <col min="5" max="5" width="14.33203125" bestFit="1" customWidth="1"/>
    <col min="6" max="6" width="13.44140625" bestFit="1" customWidth="1"/>
  </cols>
  <sheetData>
    <row r="1" spans="1:6" ht="43.2" x14ac:dyDescent="0.3">
      <c r="A1" s="5" t="s">
        <v>39</v>
      </c>
      <c r="B1" s="6" t="s">
        <v>40</v>
      </c>
      <c r="D1" s="2"/>
      <c r="E1" s="3"/>
      <c r="F1" s="3"/>
    </row>
    <row r="2" spans="1:6" x14ac:dyDescent="0.3">
      <c r="A2" t="s">
        <v>49</v>
      </c>
      <c r="B2" s="9">
        <f>VLOOKUP(A2,angajati!$B$2:$I$20,8,FALSE)</f>
        <v>1000</v>
      </c>
      <c r="D2" s="2"/>
      <c r="E2" s="2"/>
      <c r="F2" s="4"/>
    </row>
    <row r="3" spans="1:6" x14ac:dyDescent="0.3">
      <c r="D3" s="2"/>
      <c r="E3" s="2"/>
      <c r="F3" s="4"/>
    </row>
    <row r="4" spans="1:6" x14ac:dyDescent="0.3">
      <c r="D4" s="2"/>
      <c r="E4" s="2"/>
      <c r="F4" s="4"/>
    </row>
  </sheetData>
  <dataValidations count="1">
    <dataValidation type="list" allowBlank="1" showInputMessage="1" showErrorMessage="1" sqref="A2" xr:uid="{C0985B41-8A9E-4753-8DB9-C8BEE1CB2E63}">
      <formula1>angajati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angajati</vt:lpstr>
      <vt:lpstr>Lista derulanta angajati</vt:lpstr>
      <vt:lpstr>angajati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Cluj</dc:creator>
  <cp:lastModifiedBy>Antonia Butiuc</cp:lastModifiedBy>
  <dcterms:created xsi:type="dcterms:W3CDTF">2013-04-09T06:52:51Z</dcterms:created>
  <dcterms:modified xsi:type="dcterms:W3CDTF">2025-12-28T10:04:13Z</dcterms:modified>
</cp:coreProperties>
</file>